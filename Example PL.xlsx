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olutions-my.sharepoint.com/personal/niels_ac-solutions_be/Documents/"/>
    </mc:Choice>
  </mc:AlternateContent>
  <xr:revisionPtr revIDLastSave="120" documentId="8_{7F390DC7-1216-4287-9792-48B3F638E458}" xr6:coauthVersionLast="47" xr6:coauthVersionMax="47" xr10:uidLastSave="{AFFF5743-1B15-4860-8F7F-6F85CD126E9D}"/>
  <bookViews>
    <workbookView xWindow="-28920" yWindow="-120" windowWidth="29040" windowHeight="15720" xr2:uid="{0175591F-D8A5-4571-8C6F-C92C3EBD14E9}"/>
  </bookViews>
  <sheets>
    <sheet name="QUOTE" sheetId="3" r:id="rId1"/>
    <sheet name="CONNECTOR" sheetId="1" r:id="rId2"/>
    <sheet name="CABLE" sheetId="2" r:id="rId3"/>
  </sheets>
  <definedNames>
    <definedName name="MOQ_PUR_SALES_FACTOR">QUOTE!$G$3:$K$11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5" i="3" l="1"/>
  <c r="M35" i="3"/>
  <c r="O35" i="3" s="1"/>
  <c r="L42" i="3"/>
  <c r="J42" i="3"/>
  <c r="L41" i="3"/>
  <c r="J41" i="3"/>
  <c r="L40" i="3"/>
  <c r="J40" i="3"/>
  <c r="L39" i="3"/>
  <c r="J39" i="3"/>
  <c r="L38" i="3"/>
  <c r="M38" i="3" s="1"/>
  <c r="O38" i="3" s="1"/>
  <c r="K38" i="3"/>
  <c r="J38" i="3"/>
  <c r="L37" i="3"/>
  <c r="J37" i="3"/>
  <c r="L36" i="3"/>
  <c r="J36" i="3"/>
  <c r="L35" i="3"/>
  <c r="J35" i="3"/>
  <c r="H35" i="3"/>
  <c r="F35" i="3"/>
  <c r="O34" i="3"/>
  <c r="N34" i="3"/>
  <c r="L29" i="3"/>
  <c r="J29" i="3"/>
  <c r="L28" i="3"/>
  <c r="J28" i="3"/>
  <c r="L27" i="3"/>
  <c r="J27" i="3"/>
  <c r="L26" i="3"/>
  <c r="J26" i="3"/>
  <c r="L25" i="3"/>
  <c r="J25" i="3"/>
  <c r="L24" i="3"/>
  <c r="J24" i="3"/>
  <c r="L23" i="3"/>
  <c r="J23" i="3"/>
  <c r="L22" i="3"/>
  <c r="J22" i="3"/>
  <c r="H22" i="3"/>
  <c r="F22" i="3"/>
  <c r="O21" i="3"/>
  <c r="N21" i="3"/>
  <c r="Q17" i="3" a="1"/>
  <c r="Q17" i="3" s="1"/>
  <c r="O3" i="1"/>
  <c r="N3" i="1"/>
  <c r="M3" i="1"/>
  <c r="L3" i="1"/>
  <c r="K3" i="1"/>
  <c r="J3" i="1"/>
  <c r="I3" i="1"/>
  <c r="H3" i="1"/>
  <c r="D3" i="1"/>
  <c r="O2" i="1"/>
  <c r="N2" i="1"/>
  <c r="M2" i="1"/>
  <c r="L2" i="1"/>
  <c r="K2" i="1"/>
  <c r="J2" i="1"/>
  <c r="I2" i="1"/>
  <c r="H2" i="1"/>
  <c r="D2" i="1"/>
  <c r="K25" i="3" l="1"/>
  <c r="K26" i="3"/>
  <c r="M26" i="3" s="1"/>
  <c r="O26" i="3" s="1"/>
  <c r="K40" i="3"/>
  <c r="K41" i="3"/>
  <c r="M41" i="3" s="1"/>
  <c r="N38" i="3"/>
  <c r="K39" i="3"/>
  <c r="M40" i="3"/>
  <c r="O40" i="3" s="1"/>
  <c r="K42" i="3"/>
  <c r="M42" i="3" s="1"/>
  <c r="O42" i="3" s="1"/>
  <c r="K36" i="3"/>
  <c r="M36" i="3" s="1"/>
  <c r="O36" i="3" s="1"/>
  <c r="K37" i="3"/>
  <c r="M37" i="3" s="1"/>
  <c r="K27" i="3"/>
  <c r="M27" i="3" s="1"/>
  <c r="O27" i="3" s="1"/>
  <c r="K28" i="3"/>
  <c r="M28" i="3" s="1"/>
  <c r="O28" i="3" s="1"/>
  <c r="K22" i="3"/>
  <c r="M22" i="3" s="1"/>
  <c r="O22" i="3" s="1"/>
  <c r="K23" i="3"/>
  <c r="M23" i="3" s="1"/>
  <c r="O23" i="3" s="1"/>
  <c r="M25" i="3"/>
  <c r="O25" i="3" s="1"/>
  <c r="K29" i="3"/>
  <c r="M29" i="3" s="1"/>
  <c r="K24" i="3"/>
  <c r="M24" i="3" s="1"/>
  <c r="M39" i="3" l="1"/>
  <c r="O39" i="3" s="1"/>
  <c r="N35" i="3"/>
  <c r="O41" i="3"/>
  <c r="N41" i="3"/>
  <c r="N37" i="3"/>
  <c r="O37" i="3"/>
  <c r="N42" i="3"/>
  <c r="N40" i="3"/>
  <c r="N39" i="3"/>
  <c r="N36" i="3"/>
  <c r="N27" i="3"/>
  <c r="N22" i="3"/>
  <c r="N24" i="3"/>
  <c r="O24" i="3"/>
  <c r="O29" i="3"/>
  <c r="N29" i="3"/>
  <c r="N28" i="3"/>
  <c r="N25" i="3"/>
  <c r="N26" i="3"/>
  <c r="N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<sst xmlns="http://schemas.openxmlformats.org/spreadsheetml/2006/main" count="167" uniqueCount="99">
  <si>
    <t>Application</t>
    <phoneticPr fontId="1" type="noConversion"/>
  </si>
  <si>
    <t>PN</t>
    <phoneticPr fontId="1" type="noConversion"/>
  </si>
  <si>
    <t>Con
Type</t>
  </si>
  <si>
    <t>Combined</t>
  </si>
  <si>
    <t>Series</t>
    <phoneticPr fontId="1" type="noConversion"/>
  </si>
  <si>
    <t>Poles</t>
    <phoneticPr fontId="1" type="noConversion"/>
  </si>
  <si>
    <t>300pcs price in USD (2024_Q1)</t>
  </si>
  <si>
    <t>1~49
（sample）</t>
    <phoneticPr fontId="1" type="noConversion"/>
  </si>
  <si>
    <t>50~299</t>
    <phoneticPr fontId="1" type="noConversion"/>
  </si>
  <si>
    <t>300~999</t>
    <phoneticPr fontId="1" type="noConversion"/>
  </si>
  <si>
    <t>1000~4999</t>
    <phoneticPr fontId="1" type="noConversion"/>
  </si>
  <si>
    <t>5K~(10K-1)</t>
    <phoneticPr fontId="1" type="noConversion"/>
  </si>
  <si>
    <t>10K~(20K-1)</t>
    <phoneticPr fontId="1" type="noConversion"/>
  </si>
  <si>
    <t>20K~(50K-1)</t>
    <phoneticPr fontId="1" type="noConversion"/>
  </si>
  <si>
    <t>over 50K</t>
    <phoneticPr fontId="1" type="noConversion"/>
  </si>
  <si>
    <t>updated date</t>
    <phoneticPr fontId="1" type="noConversion"/>
  </si>
  <si>
    <t xml:space="preserve">unit price </t>
    <phoneticPr fontId="1" type="noConversion"/>
  </si>
  <si>
    <t>MOQ</t>
    <phoneticPr fontId="1" type="noConversion"/>
  </si>
  <si>
    <t>Remark</t>
    <phoneticPr fontId="1" type="noConversion"/>
  </si>
  <si>
    <t>Column2</t>
  </si>
  <si>
    <t>MOQ3</t>
  </si>
  <si>
    <t>Remark4</t>
  </si>
  <si>
    <t>#</t>
  </si>
  <si>
    <t>Promote (OK/NOK)</t>
  </si>
  <si>
    <t>Signal</t>
    <phoneticPr fontId="1" type="noConversion"/>
  </si>
  <si>
    <t>Z209BG</t>
  </si>
  <si>
    <t>P</t>
    <phoneticPr fontId="1" type="noConversion"/>
  </si>
  <si>
    <t>Mini B</t>
    <phoneticPr fontId="1" type="noConversion"/>
  </si>
  <si>
    <t>Z309BG</t>
  </si>
  <si>
    <t>MOQ</t>
  </si>
  <si>
    <t>Price Breaks</t>
  </si>
  <si>
    <t>Line#</t>
  </si>
  <si>
    <t>Totals</t>
  </si>
  <si>
    <t>Approval</t>
  </si>
  <si>
    <t>PUR</t>
  </si>
  <si>
    <t>SIGNAL</t>
  </si>
  <si>
    <t>POWER</t>
  </si>
  <si>
    <t>E&amp;A</t>
  </si>
  <si>
    <t>A</t>
  </si>
  <si>
    <t>No approval needed</t>
  </si>
  <si>
    <t>X</t>
  </si>
  <si>
    <t>B</t>
  </si>
  <si>
    <t>C</t>
  </si>
  <si>
    <t>D</t>
  </si>
  <si>
    <t>E</t>
  </si>
  <si>
    <t>F</t>
  </si>
  <si>
    <t>G</t>
  </si>
  <si>
    <t>H</t>
  </si>
  <si>
    <t>Value limit</t>
  </si>
  <si>
    <t>Calculation sales price (2024_Q1)</t>
  </si>
  <si>
    <t>VALIDATED PROJECT</t>
  </si>
  <si>
    <t>Customer</t>
  </si>
  <si>
    <t>NO</t>
  </si>
  <si>
    <t>DEAL</t>
  </si>
  <si>
    <t>APPROVED BY</t>
  </si>
  <si>
    <t>Higo Quote#</t>
  </si>
  <si>
    <t>Meter</t>
  </si>
  <si>
    <t>Factor</t>
  </si>
  <si>
    <t>TYPE</t>
  </si>
  <si>
    <t>Type</t>
  </si>
  <si>
    <t>Connector cost</t>
  </si>
  <si>
    <t>Cable cost</t>
  </si>
  <si>
    <t>Options</t>
  </si>
  <si>
    <t>Purchase 
Price</t>
  </si>
  <si>
    <t>Sales
Price</t>
  </si>
  <si>
    <t>USED FOR QUOTE 
(info for CS)</t>
  </si>
  <si>
    <t>RFQ HIGO</t>
  </si>
  <si>
    <t>PL Quote</t>
  </si>
  <si>
    <t>Description</t>
  </si>
  <si>
    <t>AC coding</t>
    <phoneticPr fontId="1" type="noConversion"/>
  </si>
  <si>
    <t>Jacket</t>
    <phoneticPr fontId="1" type="noConversion"/>
  </si>
  <si>
    <t>Higo coding</t>
    <phoneticPr fontId="1" type="noConversion"/>
  </si>
  <si>
    <t>Higo new coding</t>
  </si>
  <si>
    <t>Description</t>
    <phoneticPr fontId="1" type="noConversion"/>
  </si>
  <si>
    <t>Unit price 2023
(USD/m)</t>
    <phoneticPr fontId="1" type="noConversion"/>
  </si>
  <si>
    <t>Unit price 2024
 (USD/m)</t>
    <phoneticPr fontId="1" type="noConversion"/>
  </si>
  <si>
    <t>Product type</t>
    <phoneticPr fontId="1" type="noConversion"/>
  </si>
  <si>
    <t>Unit price (USD/m)</t>
    <phoneticPr fontId="1" type="noConversion"/>
  </si>
  <si>
    <t>MOQ2</t>
  </si>
  <si>
    <t>Column1</t>
  </si>
  <si>
    <t>Column3</t>
  </si>
  <si>
    <t>Column4</t>
  </si>
  <si>
    <t>A0</t>
    <phoneticPr fontId="1" type="noConversion"/>
  </si>
  <si>
    <t>PVC</t>
    <phoneticPr fontId="1" type="noConversion"/>
  </si>
  <si>
    <t>W0202002-TCC0</t>
    <phoneticPr fontId="1" type="noConversion"/>
  </si>
  <si>
    <t>OD 3.7mm 2*0.2mm², PVC/PVC (Black,blue)</t>
    <phoneticPr fontId="1" type="noConversion"/>
  </si>
  <si>
    <t>standard</t>
    <phoneticPr fontId="1" type="noConversion"/>
  </si>
  <si>
    <t>Mini A/B/C</t>
    <phoneticPr fontId="1" type="noConversion"/>
  </si>
  <si>
    <t>Example filled in</t>
  </si>
  <si>
    <t>Z209BG P 00 A0 0150</t>
  </si>
  <si>
    <t>D7</t>
    <phoneticPr fontId="1" type="noConversion"/>
  </si>
  <si>
    <t>W0202003-TCC0</t>
    <phoneticPr fontId="1" type="noConversion"/>
  </si>
  <si>
    <t>OD 3.7mm 2*0.2mm², PVC/PVC (Black,Red)</t>
    <phoneticPr fontId="1" type="noConversion"/>
  </si>
  <si>
    <t>FV</t>
    <phoneticPr fontId="1" type="noConversion"/>
  </si>
  <si>
    <t>W0301409-TCC0</t>
    <phoneticPr fontId="1" type="noConversion"/>
  </si>
  <si>
    <t xml:space="preserve">OD 3.7mm 3*0.14mm², PVC/PVC  (Black,blue,Red) </t>
    <phoneticPr fontId="1" type="noConversion"/>
  </si>
  <si>
    <t>A1</t>
    <phoneticPr fontId="1" type="noConversion"/>
  </si>
  <si>
    <t>W0302004-TCC0</t>
    <phoneticPr fontId="1" type="noConversion"/>
  </si>
  <si>
    <t xml:space="preserve">OD 3.7mm 3*0.2mm², PVC/PVC (Black,blue,Red)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</si>
</sst>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\$* #,##0.000_ ;_-\$* \-#,##0.000\ ;_-\$* &quot;-&quot;??_ ;_-@_ "/>
    <numFmt numFmtId="165" formatCode="0.0000"/>
    <numFmt numFmtId="166" formatCode="_ * #,##0.00_ ;_ * \-#,##0.00_ ;_ * &quot;-&quot;??_ ;_ @_ "/>
    <numFmt numFmtId="167" formatCode="_-* #,##0.00_-;\-* #,##0.00_-;_-* &quot;-&quot;??_-;_-@_-"/>
    <numFmt numFmtId="168" formatCode="d/mm/yyyy\ h:mm:ss"/>
    <numFmt numFmtId="169" formatCode="0_);[Red]\(0\)"/>
    <numFmt numFmtId="170" formatCode="0.000_);[Red]\(0.000\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8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8"/>
      <color theme="1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61CBF3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6BA5D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FFFB7"/>
        <bgColor rgb="FF000000"/>
      </patternFill>
    </fill>
    <fill>
      <patternFill patternType="solid">
        <fgColor rgb="FFFF939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196B24"/>
        <bgColor rgb="FF196B2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8">
    <xf numFmtId="0" fontId="0" fillId="0" borderId="0" xfId="0"/>
    <xf numFmtId="164" fontId="3" fillId="0" borderId="0" xfId="0" applyNumberFormat="1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64" fontId="6" fillId="0" borderId="5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5" fillId="0" borderId="0" xfId="0" applyFont="1" applyProtection="1">
      <protection locked="0" hidden="1"/>
    </xf>
    <xf numFmtId="0" fontId="5" fillId="7" borderId="0" xfId="0" applyFont="1" applyFill="1" applyProtection="1">
      <protection locked="0" hidden="1"/>
    </xf>
    <xf numFmtId="0" fontId="5" fillId="7" borderId="0" xfId="0" applyFont="1" applyFill="1" applyProtection="1">
      <protection hidden="1"/>
    </xf>
    <xf numFmtId="0" fontId="4" fillId="7" borderId="7" xfId="0" applyFont="1" applyFill="1" applyBorder="1" applyProtection="1">
      <protection hidden="1"/>
    </xf>
    <xf numFmtId="0" fontId="5" fillId="7" borderId="8" xfId="0" applyFont="1" applyFill="1" applyBorder="1" applyProtection="1">
      <protection hidden="1"/>
    </xf>
    <xf numFmtId="0" fontId="5" fillId="7" borderId="9" xfId="0" applyFont="1" applyFill="1" applyBorder="1" applyProtection="1">
      <protection hidden="1"/>
    </xf>
    <xf numFmtId="0" fontId="4" fillId="7" borderId="1" xfId="0" applyFont="1" applyFill="1" applyBorder="1" applyProtection="1">
      <protection hidden="1"/>
    </xf>
    <xf numFmtId="0" fontId="4" fillId="7" borderId="10" xfId="0" applyFont="1" applyFill="1" applyBorder="1" applyProtection="1">
      <protection hidden="1"/>
    </xf>
    <xf numFmtId="0" fontId="4" fillId="7" borderId="11" xfId="0" applyFont="1" applyFill="1" applyBorder="1" applyProtection="1">
      <protection hidden="1"/>
    </xf>
    <xf numFmtId="0" fontId="5" fillId="7" borderId="1" xfId="0" applyFont="1" applyFill="1" applyBorder="1" applyProtection="1">
      <protection hidden="1"/>
    </xf>
    <xf numFmtId="166" fontId="5" fillId="7" borderId="1" xfId="1" applyNumberFormat="1" applyFont="1" applyFill="1" applyBorder="1" applyProtection="1">
      <protection hidden="1"/>
    </xf>
    <xf numFmtId="0" fontId="8" fillId="7" borderId="1" xfId="0" applyFont="1" applyFill="1" applyBorder="1" applyProtection="1">
      <protection hidden="1"/>
    </xf>
    <xf numFmtId="0" fontId="5" fillId="7" borderId="10" xfId="0" applyFont="1" applyFill="1" applyBorder="1" applyAlignment="1" applyProtection="1">
      <alignment horizontal="right"/>
      <protection hidden="1"/>
    </xf>
    <xf numFmtId="2" fontId="5" fillId="7" borderId="1" xfId="0" applyNumberFormat="1" applyFont="1" applyFill="1" applyBorder="1" applyProtection="1">
      <protection hidden="1"/>
    </xf>
    <xf numFmtId="0" fontId="5" fillId="7" borderId="11" xfId="0" applyFont="1" applyFill="1" applyBorder="1" applyAlignment="1" applyProtection="1">
      <alignment horizontal="right"/>
      <protection hidden="1"/>
    </xf>
    <xf numFmtId="0" fontId="5" fillId="7" borderId="12" xfId="0" applyFont="1" applyFill="1" applyBorder="1" applyAlignment="1" applyProtection="1">
      <alignment horizontal="right"/>
      <protection hidden="1"/>
    </xf>
    <xf numFmtId="2" fontId="5" fillId="7" borderId="13" xfId="0" applyNumberFormat="1" applyFont="1" applyFill="1" applyBorder="1" applyProtection="1">
      <protection hidden="1"/>
    </xf>
    <xf numFmtId="22" fontId="5" fillId="7" borderId="0" xfId="0" applyNumberFormat="1" applyFont="1" applyFill="1" applyProtection="1">
      <protection hidden="1"/>
    </xf>
    <xf numFmtId="167" fontId="4" fillId="7" borderId="1" xfId="2" applyFont="1" applyFill="1" applyBorder="1" applyProtection="1">
      <protection hidden="1"/>
    </xf>
    <xf numFmtId="168" fontId="5" fillId="7" borderId="0" xfId="0" applyNumberFormat="1" applyFont="1" applyFill="1" applyProtection="1">
      <protection hidden="1"/>
    </xf>
    <xf numFmtId="167" fontId="5" fillId="0" borderId="0" xfId="2" applyFont="1" applyFill="1" applyBorder="1" applyProtection="1">
      <protection locked="0" hidden="1"/>
    </xf>
    <xf numFmtId="22" fontId="5" fillId="0" borderId="0" xfId="0" applyNumberFormat="1" applyFont="1" applyProtection="1">
      <protection locked="0" hidden="1"/>
    </xf>
    <xf numFmtId="0" fontId="5" fillId="0" borderId="0" xfId="0" applyFont="1" applyProtection="1">
      <protection locked="0"/>
    </xf>
    <xf numFmtId="0" fontId="5" fillId="7" borderId="0" xfId="0" applyFont="1" applyFill="1" applyProtection="1">
      <protection locked="0"/>
    </xf>
    <xf numFmtId="0" fontId="4" fillId="9" borderId="15" xfId="0" applyFont="1" applyFill="1" applyBorder="1" applyAlignment="1" applyProtection="1">
      <alignment horizontal="right"/>
      <protection locked="0"/>
    </xf>
    <xf numFmtId="0" fontId="5" fillId="0" borderId="16" xfId="0" applyFont="1" applyBorder="1" applyProtection="1">
      <protection locked="0"/>
    </xf>
    <xf numFmtId="0" fontId="4" fillId="8" borderId="10" xfId="0" applyFont="1" applyFill="1" applyBorder="1" applyAlignment="1" applyProtection="1">
      <alignment horizontal="right" indent="1"/>
      <protection locked="0"/>
    </xf>
    <xf numFmtId="0" fontId="4" fillId="9" borderId="17" xfId="0" applyFont="1" applyFill="1" applyBorder="1" applyAlignment="1" applyProtection="1">
      <alignment horizontal="right" indent="1"/>
      <protection locked="0"/>
    </xf>
    <xf numFmtId="0" fontId="5" fillId="0" borderId="18" xfId="0" applyFont="1" applyBorder="1" applyProtection="1">
      <protection locked="0"/>
    </xf>
    <xf numFmtId="0" fontId="4" fillId="10" borderId="15" xfId="0" applyFont="1" applyFill="1" applyBorder="1" applyAlignment="1" applyProtection="1">
      <alignment horizontal="right"/>
      <protection locked="0"/>
    </xf>
    <xf numFmtId="0" fontId="4" fillId="8" borderId="12" xfId="0" applyFont="1" applyFill="1" applyBorder="1" applyAlignment="1" applyProtection="1">
      <alignment horizontal="right" indent="1"/>
      <protection locked="0"/>
    </xf>
    <xf numFmtId="0" fontId="4" fillId="10" borderId="17" xfId="0" applyFont="1" applyFill="1" applyBorder="1" applyAlignment="1" applyProtection="1">
      <alignment horizontal="right" indent="1"/>
      <protection locked="0"/>
    </xf>
    <xf numFmtId="168" fontId="7" fillId="0" borderId="21" xfId="0" quotePrefix="1" applyNumberFormat="1" applyFont="1" applyBorder="1"/>
    <xf numFmtId="0" fontId="5" fillId="0" borderId="22" xfId="0" applyFont="1" applyBorder="1" applyProtection="1">
      <protection locked="0"/>
    </xf>
    <xf numFmtId="0" fontId="5" fillId="0" borderId="0" xfId="0" applyFont="1" applyAlignment="1" applyProtection="1">
      <alignment horizontal="right" indent="1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5" fillId="7" borderId="5" xfId="0" applyFont="1" applyFill="1" applyBorder="1" applyAlignment="1" applyProtection="1">
      <alignment horizontal="center" vertical="center" wrapText="1"/>
      <protection locked="0"/>
    </xf>
    <xf numFmtId="0" fontId="5" fillId="0" borderId="24" xfId="0" applyFont="1" applyBorder="1" applyProtection="1">
      <protection locked="0"/>
    </xf>
    <xf numFmtId="0" fontId="5" fillId="0" borderId="25" xfId="0" applyFont="1" applyBorder="1" applyProtection="1">
      <protection locked="0"/>
    </xf>
    <xf numFmtId="0" fontId="4" fillId="11" borderId="3" xfId="0" applyFont="1" applyFill="1" applyBorder="1" applyAlignment="1" applyProtection="1">
      <alignment horizontal="center"/>
      <protection locked="0"/>
    </xf>
    <xf numFmtId="0" fontId="5" fillId="7" borderId="25" xfId="0" applyFont="1" applyFill="1" applyBorder="1" applyProtection="1">
      <protection locked="0"/>
    </xf>
    <xf numFmtId="0" fontId="5" fillId="0" borderId="26" xfId="0" applyFont="1" applyBorder="1" applyProtection="1">
      <protection locked="0"/>
    </xf>
    <xf numFmtId="0" fontId="5" fillId="0" borderId="27" xfId="0" applyFont="1" applyBorder="1" applyProtection="1"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5" fillId="7" borderId="6" xfId="0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12" borderId="30" xfId="0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12" borderId="29" xfId="0" applyFont="1" applyFill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7" borderId="3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wrapText="1"/>
      <protection locked="0"/>
    </xf>
    <xf numFmtId="165" fontId="5" fillId="4" borderId="33" xfId="0" applyNumberFormat="1" applyFont="1" applyFill="1" applyBorder="1" applyProtection="1">
      <protection locked="0"/>
    </xf>
    <xf numFmtId="165" fontId="5" fillId="0" borderId="33" xfId="0" applyNumberFormat="1" applyFont="1" applyBorder="1" applyProtection="1">
      <protection locked="0"/>
    </xf>
    <xf numFmtId="165" fontId="5" fillId="2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Protection="1">
      <protection locked="0"/>
    </xf>
    <xf numFmtId="0" fontId="5" fillId="0" borderId="33" xfId="0" applyFont="1" applyBorder="1" applyAlignment="1" applyProtection="1">
      <alignment horizontal="right"/>
      <protection locked="0"/>
    </xf>
    <xf numFmtId="165" fontId="5" fillId="0" borderId="33" xfId="0" applyNumberFormat="1" applyFont="1" applyBorder="1" applyAlignment="1" applyProtection="1">
      <alignment horizontal="right"/>
      <protection locked="0"/>
    </xf>
    <xf numFmtId="2" fontId="5" fillId="7" borderId="34" xfId="0" applyNumberFormat="1" applyFont="1" applyFill="1" applyBorder="1" applyAlignment="1" applyProtection="1">
      <alignment horizontal="right"/>
      <protection locked="0"/>
    </xf>
    <xf numFmtId="167" fontId="5" fillId="7" borderId="22" xfId="2" applyFont="1" applyFill="1" applyBorder="1" applyProtection="1">
      <protection locked="0"/>
    </xf>
    <xf numFmtId="2" fontId="5" fillId="0" borderId="35" xfId="0" applyNumberFormat="1" applyFont="1" applyBorder="1" applyAlignment="1" applyProtection="1">
      <alignment horizontal="right"/>
      <protection locked="0"/>
    </xf>
    <xf numFmtId="0" fontId="5" fillId="0" borderId="23" xfId="0" applyFont="1" applyBorder="1" applyProtection="1">
      <protection locked="0"/>
    </xf>
    <xf numFmtId="0" fontId="5" fillId="0" borderId="22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33" xfId="0" applyFont="1" applyBorder="1" applyProtection="1">
      <protection locked="0"/>
    </xf>
    <xf numFmtId="2" fontId="5" fillId="0" borderId="34" xfId="0" applyNumberFormat="1" applyFont="1" applyBorder="1" applyAlignment="1" applyProtection="1">
      <alignment horizontal="right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22" xfId="0" applyFont="1" applyBorder="1" applyAlignment="1" applyProtection="1">
      <alignment horizontal="left" vertical="top"/>
      <protection locked="0"/>
    </xf>
    <xf numFmtId="0" fontId="9" fillId="0" borderId="29" xfId="0" applyFont="1" applyBorder="1" applyAlignment="1" applyProtection="1">
      <alignment vertical="center"/>
      <protection locked="0"/>
    </xf>
    <xf numFmtId="0" fontId="5" fillId="7" borderId="29" xfId="0" applyFont="1" applyFill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left"/>
      <protection locked="0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36" xfId="0" applyFont="1" applyBorder="1" applyProtection="1">
      <protection locked="0"/>
    </xf>
    <xf numFmtId="165" fontId="5" fillId="0" borderId="36" xfId="0" applyNumberFormat="1" applyFont="1" applyBorder="1" applyAlignment="1" applyProtection="1">
      <alignment horizontal="right"/>
      <protection locked="0"/>
    </xf>
    <xf numFmtId="2" fontId="5" fillId="7" borderId="29" xfId="0" applyNumberFormat="1" applyFont="1" applyFill="1" applyBorder="1" applyAlignment="1" applyProtection="1">
      <alignment horizontal="right"/>
      <protection locked="0"/>
    </xf>
    <xf numFmtId="167" fontId="5" fillId="7" borderId="28" xfId="2" applyFont="1" applyFill="1" applyBorder="1" applyProtection="1">
      <protection locked="0"/>
    </xf>
    <xf numFmtId="2" fontId="5" fillId="0" borderId="29" xfId="0" applyNumberFormat="1" applyFont="1" applyBorder="1" applyAlignment="1" applyProtection="1">
      <alignment horizontal="right"/>
      <protection locked="0"/>
    </xf>
    <xf numFmtId="0" fontId="5" fillId="0" borderId="37" xfId="0" applyFont="1" applyBorder="1" applyProtection="1">
      <protection locked="0"/>
    </xf>
    <xf numFmtId="0" fontId="5" fillId="2" borderId="38" xfId="0" applyFont="1" applyFill="1" applyBorder="1" applyAlignment="1">
      <alignment horizontal="center" vertical="center"/>
    </xf>
    <xf numFmtId="169" fontId="5" fillId="2" borderId="39" xfId="0" applyNumberFormat="1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 wrapText="1"/>
    </xf>
    <xf numFmtId="170" fontId="5" fillId="6" borderId="38" xfId="0" applyNumberFormat="1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/>
    </xf>
    <xf numFmtId="0" fontId="10" fillId="15" borderId="38" xfId="0" applyFont="1" applyFill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9" fontId="7" fillId="16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2" fontId="5" fillId="7" borderId="0" xfId="0" applyNumberFormat="1" applyFont="1" applyFill="1" applyAlignment="1" applyProtection="1">
      <alignment horizontal="right"/>
      <protection locked="0"/>
    </xf>
    <xf numFmtId="167" fontId="5" fillId="7" borderId="0" xfId="2" applyFont="1" applyFill="1" applyBorder="1" applyProtection="1">
      <protection locked="0"/>
    </xf>
    <xf numFmtId="2" fontId="5" fillId="0" borderId="0" xfId="0" applyNumberFormat="1" applyFont="1" applyAlignment="1" applyProtection="1">
      <alignment horizontal="right"/>
      <protection locked="0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3" fillId="17" borderId="0" xfId="0" quotePrefix="1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9" fontId="3" fillId="17" borderId="0" xfId="0" applyNumberFormat="1" applyFont="1" applyFill="1" applyAlignment="1">
      <alignment horizontal="left" vertical="center" wrapText="1"/>
    </xf>
    <xf numFmtId="0" fontId="4" fillId="8" borderId="7" xfId="0" applyFont="1" applyFill="1" applyBorder="1" applyAlignment="1" applyProtection="1">
      <alignment horizontal="center"/>
      <protection locked="0"/>
    </xf>
    <xf numFmtId="0" fontId="4" fillId="8" borderId="8" xfId="0" applyFont="1" applyFill="1" applyBorder="1" applyAlignment="1" applyProtection="1">
      <alignment horizontal="center"/>
      <protection locked="0"/>
    </xf>
    <xf numFmtId="0" fontId="4" fillId="8" borderId="14" xfId="0" applyFont="1" applyFill="1" applyBorder="1" applyAlignment="1" applyProtection="1">
      <alignment horizontal="center"/>
      <protection locked="0"/>
    </xf>
    <xf numFmtId="0" fontId="5" fillId="8" borderId="1" xfId="0" applyFont="1" applyFill="1" applyBorder="1" applyAlignment="1" applyProtection="1">
      <alignment horizontal="center"/>
      <protection locked="0"/>
    </xf>
    <xf numFmtId="0" fontId="5" fillId="8" borderId="2" xfId="0" applyFont="1" applyFill="1" applyBorder="1" applyAlignment="1" applyProtection="1">
      <alignment horizontal="center"/>
      <protection locked="0"/>
    </xf>
    <xf numFmtId="0" fontId="5" fillId="8" borderId="19" xfId="0" applyFont="1" applyFill="1" applyBorder="1" applyAlignment="1" applyProtection="1">
      <alignment horizontal="center"/>
      <protection locked="0"/>
    </xf>
    <xf numFmtId="0" fontId="5" fillId="8" borderId="18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" fillId="8" borderId="2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2" fontId="0" fillId="18" borderId="1" xfId="0" applyNumberFormat="1" applyFill="1" applyBorder="1" applyProtection="1">
      <protection hidden="1"/>
    </xf>
    <xf numFmtId="2" fontId="0" fillId="18" borderId="13" xfId="0" applyNumberFormat="1" applyFill="1" applyBorder="1" applyProtection="1">
      <protection hidden="1"/>
    </xf>
  </cellXfs>
  <cellStyles count="3">
    <cellStyle name="Comma" xfId="1" builtinId="3"/>
    <cellStyle name="Komma 2" xfId="2" xr:uid="{CF877343-7E00-44C8-89FB-F4DA51A7E72B}"/>
    <cellStyle name="Normal" xfId="0" builtinId="0"/>
  </cellStyles>
  <dxfs count="2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numFmt numFmtId="165" formatCode="0.0000"/>
    </dxf>
    <dxf>
      <fill>
        <patternFill>
          <bgColor rgb="FF00B0F0"/>
        </patternFill>
      </fill>
    </dxf>
    <dxf>
      <font>
        <b/>
        <i val="0"/>
        <color rgb="FFFF0000"/>
      </font>
    </dxf>
    <dxf>
      <numFmt numFmtId="165" formatCode="0.0000"/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851D-9B41-4F03-90BD-D7886FE835FF}">
  <dimension ref="A1:Q42"/>
  <sheetViews>
    <sheetView tabSelected="1" topLeftCell="A18" workbookViewId="0">
      <selection activeCell="H12" sqref="H12"/>
    </sheetView>
  </sheetViews>
  <sheetFormatPr defaultRowHeight="15" x14ac:dyDescent="0.25"/>
  <cols>
    <col min="2" max="2" width="10.28515625" customWidth="1"/>
    <col min="3" max="3" width="0" hidden="1" customWidth="1"/>
    <col min="4" max="4" width="25" customWidth="1"/>
    <col min="5" max="5" width="12.7109375" customWidth="1"/>
    <col min="10" max="10" width="13.85546875" customWidth="1"/>
    <col min="11" max="15" width="15.140625" customWidth="1"/>
    <col min="16" max="16" width="29.42578125" customWidth="1"/>
  </cols>
  <sheetData>
    <row r="1" spans="1:17" s="20" customFormat="1" ht="15.75" thickBot="1" x14ac:dyDescent="0.3">
      <c r="C1" s="21"/>
      <c r="M1" s="21"/>
      <c r="N1" s="21"/>
    </row>
    <row r="2" spans="1:17" s="21" customFormat="1" x14ac:dyDescent="0.25">
      <c r="A2" s="22"/>
      <c r="B2" s="22"/>
      <c r="C2" s="22"/>
      <c r="D2" s="22"/>
      <c r="E2" s="22"/>
      <c r="F2" s="22"/>
      <c r="G2" s="23" t="s">
        <v>30</v>
      </c>
      <c r="H2" s="24"/>
      <c r="I2" s="24"/>
      <c r="J2" s="24"/>
      <c r="K2" s="25"/>
      <c r="L2" s="22"/>
      <c r="M2" s="22"/>
      <c r="N2" s="22"/>
      <c r="O2" s="22"/>
      <c r="P2" s="22"/>
      <c r="Q2" s="22"/>
    </row>
    <row r="3" spans="1:17" s="21" customFormat="1" x14ac:dyDescent="0.25">
      <c r="A3" s="22"/>
      <c r="B3" s="22"/>
      <c r="C3" s="26" t="s">
        <v>31</v>
      </c>
      <c r="D3" s="26" t="s">
        <v>32</v>
      </c>
      <c r="E3" s="26" t="s">
        <v>33</v>
      </c>
      <c r="F3" s="22"/>
      <c r="G3" s="27" t="s">
        <v>29</v>
      </c>
      <c r="H3" s="26" t="s">
        <v>34</v>
      </c>
      <c r="I3" s="26" t="s">
        <v>35</v>
      </c>
      <c r="J3" s="26" t="s">
        <v>36</v>
      </c>
      <c r="K3" s="28" t="s">
        <v>37</v>
      </c>
      <c r="L3" s="22"/>
      <c r="M3" s="22"/>
      <c r="N3" s="22"/>
      <c r="O3" s="22"/>
      <c r="P3" s="22"/>
      <c r="Q3" s="22"/>
    </row>
    <row r="4" spans="1:17" s="21" customFormat="1" x14ac:dyDescent="0.25">
      <c r="A4" s="22"/>
      <c r="B4" s="22"/>
      <c r="C4" s="29" t="s">
        <v>38</v>
      </c>
      <c r="D4" s="30">
        <v>0</v>
      </c>
      <c r="E4" s="31" t="s">
        <v>39</v>
      </c>
      <c r="F4" s="22"/>
      <c r="G4" s="32">
        <v>10</v>
      </c>
      <c r="H4" s="146">
        <v>1.4</v>
      </c>
      <c r="I4" s="33">
        <v>1.7</v>
      </c>
      <c r="J4" s="33">
        <v>1.9</v>
      </c>
      <c r="K4" s="34" t="s">
        <v>40</v>
      </c>
      <c r="L4" s="22"/>
      <c r="M4" s="22"/>
      <c r="N4" s="22"/>
      <c r="O4" s="22"/>
      <c r="P4" s="22"/>
      <c r="Q4" s="22"/>
    </row>
    <row r="5" spans="1:17" s="21" customFormat="1" x14ac:dyDescent="0.25">
      <c r="A5" s="22"/>
      <c r="B5" s="22"/>
      <c r="C5" s="29" t="s">
        <v>41</v>
      </c>
      <c r="D5" s="30">
        <v>0</v>
      </c>
      <c r="E5" s="31" t="s">
        <v>39</v>
      </c>
      <c r="F5" s="22"/>
      <c r="G5" s="32">
        <v>50</v>
      </c>
      <c r="H5" s="146">
        <v>1.2</v>
      </c>
      <c r="I5" s="33">
        <v>1.6</v>
      </c>
      <c r="J5" s="33">
        <v>1.8</v>
      </c>
      <c r="K5" s="33">
        <v>1.9</v>
      </c>
      <c r="L5" s="22"/>
      <c r="M5" s="22"/>
      <c r="N5" s="22"/>
      <c r="O5" s="22"/>
      <c r="P5" s="22"/>
      <c r="Q5" s="22"/>
    </row>
    <row r="6" spans="1:17" s="21" customFormat="1" x14ac:dyDescent="0.25">
      <c r="A6" s="22"/>
      <c r="B6" s="22"/>
      <c r="C6" s="29" t="s">
        <v>42</v>
      </c>
      <c r="D6" s="30">
        <v>0</v>
      </c>
      <c r="E6" s="31" t="s">
        <v>39</v>
      </c>
      <c r="F6" s="22"/>
      <c r="G6" s="32">
        <v>300</v>
      </c>
      <c r="H6" s="146">
        <v>1</v>
      </c>
      <c r="I6" s="33">
        <v>1.5</v>
      </c>
      <c r="J6" s="33">
        <v>1.65</v>
      </c>
      <c r="K6" s="33">
        <v>1.8</v>
      </c>
      <c r="L6" s="22"/>
      <c r="M6" s="22"/>
      <c r="N6" s="22"/>
      <c r="O6" s="22"/>
      <c r="P6" s="22"/>
      <c r="Q6" s="22"/>
    </row>
    <row r="7" spans="1:17" s="21" customFormat="1" x14ac:dyDescent="0.25">
      <c r="A7" s="22"/>
      <c r="B7" s="22"/>
      <c r="C7" s="29" t="s">
        <v>43</v>
      </c>
      <c r="D7" s="30">
        <v>0</v>
      </c>
      <c r="E7" s="31" t="s">
        <v>39</v>
      </c>
      <c r="F7" s="22"/>
      <c r="G7" s="32">
        <v>1000</v>
      </c>
      <c r="H7" s="146">
        <v>0.98</v>
      </c>
      <c r="I7" s="33">
        <v>1.4</v>
      </c>
      <c r="J7" s="33">
        <v>1.55</v>
      </c>
      <c r="K7" s="33">
        <v>1.7</v>
      </c>
      <c r="L7" s="22"/>
      <c r="M7" s="22"/>
      <c r="N7" s="22"/>
      <c r="O7" s="22"/>
      <c r="P7" s="22"/>
      <c r="Q7" s="22"/>
    </row>
    <row r="8" spans="1:17" s="21" customFormat="1" x14ac:dyDescent="0.25">
      <c r="A8" s="22"/>
      <c r="B8" s="22"/>
      <c r="C8" s="29" t="s">
        <v>44</v>
      </c>
      <c r="D8" s="30">
        <v>0</v>
      </c>
      <c r="E8" s="31" t="s">
        <v>39</v>
      </c>
      <c r="F8" s="22"/>
      <c r="G8" s="32">
        <v>5000</v>
      </c>
      <c r="H8" s="146">
        <v>0.95</v>
      </c>
      <c r="I8" s="33">
        <v>1.3</v>
      </c>
      <c r="J8" s="33">
        <v>1.5</v>
      </c>
      <c r="K8" s="33">
        <v>1.6</v>
      </c>
      <c r="L8" s="22"/>
      <c r="M8" s="22"/>
      <c r="N8" s="22"/>
      <c r="O8" s="22"/>
      <c r="P8" s="22"/>
      <c r="Q8" s="22"/>
    </row>
    <row r="9" spans="1:17" s="21" customFormat="1" x14ac:dyDescent="0.25">
      <c r="A9" s="22"/>
      <c r="B9" s="22"/>
      <c r="C9" s="29" t="s">
        <v>45</v>
      </c>
      <c r="D9" s="30">
        <v>0</v>
      </c>
      <c r="E9" s="31" t="s">
        <v>39</v>
      </c>
      <c r="F9" s="22"/>
      <c r="G9" s="32">
        <v>10000</v>
      </c>
      <c r="H9" s="146">
        <v>0.9</v>
      </c>
      <c r="I9" s="33">
        <v>1.25</v>
      </c>
      <c r="J9" s="33">
        <v>1.35</v>
      </c>
      <c r="K9" s="33">
        <v>1.5</v>
      </c>
      <c r="L9" s="22"/>
      <c r="M9" s="22"/>
      <c r="N9" s="22"/>
      <c r="O9" s="22"/>
      <c r="P9" s="22"/>
      <c r="Q9" s="22"/>
    </row>
    <row r="10" spans="1:17" s="21" customFormat="1" x14ac:dyDescent="0.25">
      <c r="A10" s="22"/>
      <c r="B10" s="22"/>
      <c r="C10" s="29" t="s">
        <v>46</v>
      </c>
      <c r="D10" s="30">
        <v>0</v>
      </c>
      <c r="E10" s="31" t="s">
        <v>39</v>
      </c>
      <c r="F10" s="22"/>
      <c r="G10" s="32">
        <v>20000</v>
      </c>
      <c r="H10" s="146">
        <v>0.88</v>
      </c>
      <c r="I10" s="33">
        <v>1.2</v>
      </c>
      <c r="J10" s="33">
        <v>1.2</v>
      </c>
      <c r="K10" s="33">
        <v>1.3</v>
      </c>
      <c r="L10" s="22"/>
      <c r="M10" s="22"/>
      <c r="N10" s="22"/>
      <c r="O10" s="22"/>
      <c r="P10" s="22"/>
      <c r="Q10" s="22"/>
    </row>
    <row r="11" spans="1:17" s="21" customFormat="1" ht="15.75" thickBot="1" x14ac:dyDescent="0.3">
      <c r="A11" s="22"/>
      <c r="B11" s="22"/>
      <c r="C11" s="29" t="s">
        <v>47</v>
      </c>
      <c r="D11" s="30">
        <v>0</v>
      </c>
      <c r="E11" s="31" t="s">
        <v>39</v>
      </c>
      <c r="F11" s="22"/>
      <c r="G11" s="35">
        <v>50000</v>
      </c>
      <c r="H11" s="147">
        <v>0.85</v>
      </c>
      <c r="I11" s="36">
        <v>1.18</v>
      </c>
      <c r="J11" s="36">
        <v>1.1499999999999999</v>
      </c>
      <c r="K11" s="36">
        <v>1.2</v>
      </c>
      <c r="L11" s="22"/>
      <c r="M11" s="22"/>
      <c r="N11" s="22"/>
      <c r="O11" s="22"/>
      <c r="P11" s="37"/>
      <c r="Q11" s="22"/>
    </row>
    <row r="12" spans="1:17" s="21" customFormat="1" x14ac:dyDescent="0.25">
      <c r="A12" s="22"/>
      <c r="B12" s="22"/>
      <c r="C12" s="26" t="s">
        <v>48</v>
      </c>
      <c r="D12" s="38">
        <v>30000</v>
      </c>
      <c r="E12" s="29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39">
        <v>46141.43792384259</v>
      </c>
      <c r="Q12" s="22"/>
    </row>
    <row r="13" spans="1:17" s="20" customFormat="1" ht="15.75" thickBot="1" x14ac:dyDescent="0.3">
      <c r="C13" s="21"/>
      <c r="E13" s="40"/>
      <c r="M13" s="21"/>
      <c r="N13" s="21"/>
      <c r="P13" s="41"/>
    </row>
    <row r="14" spans="1:17" s="42" customFormat="1" x14ac:dyDescent="0.25">
      <c r="C14" s="43"/>
      <c r="D14" s="136" t="s">
        <v>49</v>
      </c>
      <c r="E14" s="137"/>
      <c r="F14" s="137"/>
      <c r="G14" s="137"/>
      <c r="H14" s="137"/>
      <c r="I14" s="137"/>
      <c r="J14" s="137"/>
      <c r="K14" s="137"/>
      <c r="L14" s="137"/>
      <c r="M14" s="138"/>
      <c r="N14" s="138"/>
      <c r="O14" s="138"/>
      <c r="P14" s="44" t="s">
        <v>50</v>
      </c>
      <c r="Q14" s="45"/>
    </row>
    <row r="15" spans="1:17" s="42" customFormat="1" ht="15.75" thickBot="1" x14ac:dyDescent="0.3">
      <c r="C15" s="43"/>
      <c r="D15" s="46" t="s">
        <v>51</v>
      </c>
      <c r="E15" s="139"/>
      <c r="F15" s="139"/>
      <c r="G15" s="139"/>
      <c r="H15" s="139"/>
      <c r="I15" s="139"/>
      <c r="J15" s="139"/>
      <c r="K15" s="139"/>
      <c r="L15" s="139"/>
      <c r="M15" s="140"/>
      <c r="N15" s="140"/>
      <c r="O15" s="140"/>
      <c r="P15" s="47" t="s">
        <v>52</v>
      </c>
      <c r="Q15" s="48"/>
    </row>
    <row r="16" spans="1:17" s="42" customFormat="1" x14ac:dyDescent="0.25">
      <c r="C16" s="43"/>
      <c r="D16" s="46" t="s">
        <v>53</v>
      </c>
      <c r="E16" s="140"/>
      <c r="F16" s="141"/>
      <c r="G16" s="141"/>
      <c r="H16" s="141"/>
      <c r="I16" s="141"/>
      <c r="J16" s="141"/>
      <c r="K16" s="141"/>
      <c r="L16" s="141"/>
      <c r="M16" s="141"/>
      <c r="N16" s="141"/>
      <c r="O16" s="142"/>
      <c r="P16" s="49" t="s">
        <v>54</v>
      </c>
      <c r="Q16" s="48"/>
    </row>
    <row r="17" spans="2:17" s="42" customFormat="1" ht="15.75" thickBot="1" x14ac:dyDescent="0.3">
      <c r="C17" s="43"/>
      <c r="D17" s="50" t="s">
        <v>55</v>
      </c>
      <c r="E17" s="143"/>
      <c r="F17" s="143"/>
      <c r="G17" s="143"/>
      <c r="H17" s="143"/>
      <c r="I17" s="143"/>
      <c r="J17" s="143"/>
      <c r="K17" s="143"/>
      <c r="L17" s="143"/>
      <c r="M17" s="144"/>
      <c r="N17" s="144"/>
      <c r="O17" s="144"/>
      <c r="P17" s="51"/>
      <c r="Q17" s="52" t="str" cm="1">
        <f t="array" ref="Q17">IF(P17&lt;&gt;"",Lastmodified(P17),"")</f>
        <v/>
      </c>
    </row>
    <row r="18" spans="2:17" s="42" customFormat="1" x14ac:dyDescent="0.25">
      <c r="C18" s="43"/>
      <c r="D18" s="53"/>
      <c r="E18" s="54"/>
      <c r="F18" s="55"/>
      <c r="G18" s="55"/>
      <c r="H18" s="55"/>
      <c r="I18" s="55"/>
      <c r="J18" s="55"/>
      <c r="K18" s="55"/>
      <c r="L18" s="55"/>
      <c r="M18" s="56"/>
      <c r="N18" s="56"/>
      <c r="O18" s="57"/>
    </row>
    <row r="19" spans="2:17" s="42" customFormat="1" ht="15.75" thickBot="1" x14ac:dyDescent="0.3">
      <c r="C19" s="43"/>
      <c r="D19" s="53"/>
      <c r="E19" s="54"/>
      <c r="F19" s="55"/>
      <c r="G19" s="55"/>
      <c r="H19" s="55"/>
      <c r="I19" s="55"/>
      <c r="J19" s="55"/>
      <c r="K19" s="55"/>
      <c r="L19" s="55"/>
      <c r="M19" s="56"/>
      <c r="N19" s="56"/>
      <c r="O19" s="57"/>
    </row>
    <row r="20" spans="2:17" s="42" customFormat="1" ht="15.75" customHeight="1" thickBot="1" x14ac:dyDescent="0.3">
      <c r="B20" s="58"/>
      <c r="C20" s="59"/>
      <c r="D20" s="60"/>
      <c r="E20" s="61"/>
      <c r="F20" s="62" t="s">
        <v>22</v>
      </c>
      <c r="G20" s="61"/>
      <c r="H20" s="62" t="s">
        <v>56</v>
      </c>
      <c r="I20" s="61"/>
      <c r="J20" s="62" t="s">
        <v>57</v>
      </c>
      <c r="K20" s="61"/>
      <c r="L20" s="61"/>
      <c r="M20" s="63"/>
      <c r="N20" s="63"/>
      <c r="O20" s="64"/>
      <c r="P20" s="65"/>
    </row>
    <row r="21" spans="2:17" s="42" customFormat="1" ht="30.75" customHeight="1" thickBot="1" x14ac:dyDescent="0.3">
      <c r="B21" s="66" t="s">
        <v>58</v>
      </c>
      <c r="C21" s="67" t="s">
        <v>31</v>
      </c>
      <c r="D21" s="68" t="s">
        <v>59</v>
      </c>
      <c r="E21" s="69" t="s">
        <v>60</v>
      </c>
      <c r="F21" s="70">
        <v>1</v>
      </c>
      <c r="G21" s="69" t="s">
        <v>61</v>
      </c>
      <c r="H21" s="70">
        <v>1</v>
      </c>
      <c r="I21" s="71" t="s">
        <v>62</v>
      </c>
      <c r="J21" s="72" t="s">
        <v>35</v>
      </c>
      <c r="K21" s="73" t="s">
        <v>63</v>
      </c>
      <c r="L21" s="74" t="s">
        <v>29</v>
      </c>
      <c r="M21" s="75" t="s">
        <v>64</v>
      </c>
      <c r="N21" s="75" t="str">
        <f>IF(J21&lt;&gt;$K$3,"Sales Value USD","Sales Value EUR")</f>
        <v>Sales Value USD</v>
      </c>
      <c r="O21" s="76" t="str">
        <f>IF(J21&lt;&gt;$K$3,"Sales Price USD","Sales Price EUR")</f>
        <v>Sales Price USD</v>
      </c>
      <c r="P21" s="77" t="s">
        <v>65</v>
      </c>
    </row>
    <row r="22" spans="2:17" s="42" customFormat="1" x14ac:dyDescent="0.25">
      <c r="B22" s="66" t="s">
        <v>66</v>
      </c>
      <c r="C22" s="67" t="s">
        <v>38</v>
      </c>
      <c r="D22" s="53"/>
      <c r="E22" s="78"/>
      <c r="F22" s="79">
        <f>E22*F21</f>
        <v>0</v>
      </c>
      <c r="G22" s="80"/>
      <c r="H22" s="79">
        <f>G22*H21</f>
        <v>0</v>
      </c>
      <c r="I22" s="81"/>
      <c r="J22" s="82">
        <f>$G$4</f>
        <v>10</v>
      </c>
      <c r="K22" s="83">
        <f>(F22*$H$4)+H22+I22</f>
        <v>0</v>
      </c>
      <c r="L22" s="82">
        <f>$G$4</f>
        <v>10</v>
      </c>
      <c r="M22" s="84">
        <f>VLOOKUP(L22,MOQ_PUR_SALES_FACTOR,IF(J21=$I$3,3,IF(J21=$J$3,4,IF(J21=$K$3,5,""))),FALSE)*K22</f>
        <v>0</v>
      </c>
      <c r="N22" s="85">
        <f>L22*M22</f>
        <v>0</v>
      </c>
      <c r="O22" s="86">
        <f t="shared" ref="O22:O29" si="0">IF($P$17="",IF(VLOOKUP(C22,$C$4:$E$11,2,FALSE)&gt;$D$12,ROUND(M22,2)&amp;" &gt; Get approval",M22),M22)</f>
        <v>0</v>
      </c>
      <c r="P22" s="87"/>
    </row>
    <row r="23" spans="2:17" s="42" customFormat="1" x14ac:dyDescent="0.25">
      <c r="B23" s="66" t="s">
        <v>67</v>
      </c>
      <c r="C23" s="67" t="s">
        <v>41</v>
      </c>
      <c r="D23" s="88"/>
      <c r="E23" s="89"/>
      <c r="F23" s="89"/>
      <c r="G23" s="89"/>
      <c r="H23" s="89"/>
      <c r="I23" s="89"/>
      <c r="J23" s="90">
        <f>$G$5</f>
        <v>50</v>
      </c>
      <c r="K23" s="83">
        <f>(F22*$H$5)+H22+I22</f>
        <v>0</v>
      </c>
      <c r="L23" s="90">
        <f>$G$5</f>
        <v>50</v>
      </c>
      <c r="M23" s="84">
        <f>VLOOKUP(L23,MOQ_PUR_SALES_FACTOR,IF(J21=$I$3,3,IF(J21=$J$3,4,IF(J21=$K$3,5,""))),FALSE)*K23</f>
        <v>0</v>
      </c>
      <c r="N23" s="85">
        <f t="shared" ref="N23:N25" si="1">L23*M23</f>
        <v>0</v>
      </c>
      <c r="O23" s="91">
        <f t="shared" si="0"/>
        <v>0</v>
      </c>
      <c r="P23" s="87"/>
    </row>
    <row r="24" spans="2:17" s="42" customFormat="1" ht="15.75" thickBot="1" x14ac:dyDescent="0.3">
      <c r="B24" s="66"/>
      <c r="C24" s="67" t="s">
        <v>42</v>
      </c>
      <c r="D24" s="88"/>
      <c r="E24" s="92"/>
      <c r="F24" s="92"/>
      <c r="G24" s="92"/>
      <c r="H24" s="92"/>
      <c r="I24" s="92"/>
      <c r="J24" s="90">
        <f>$G$6</f>
        <v>300</v>
      </c>
      <c r="K24" s="83">
        <f>(F22*$H$6)+H22+I22</f>
        <v>0</v>
      </c>
      <c r="L24" s="90">
        <f>$G$6</f>
        <v>300</v>
      </c>
      <c r="M24" s="84">
        <f>VLOOKUP(L24,MOQ_PUR_SALES_FACTOR,IF(J21=$I$3,3,IF(J21=$J$3,4,IF(J21=$K$3,5,""))),FALSE)*K24</f>
        <v>0</v>
      </c>
      <c r="N24" s="85">
        <f t="shared" si="1"/>
        <v>0</v>
      </c>
      <c r="O24" s="91">
        <f t="shared" si="0"/>
        <v>0</v>
      </c>
      <c r="P24" s="87"/>
    </row>
    <row r="25" spans="2:17" s="42" customFormat="1" ht="30.75" thickBot="1" x14ac:dyDescent="0.3">
      <c r="B25" s="66"/>
      <c r="C25" s="67" t="s">
        <v>43</v>
      </c>
      <c r="D25" s="76" t="s">
        <v>68</v>
      </c>
      <c r="E25" s="93"/>
      <c r="F25" s="93"/>
      <c r="G25" s="93"/>
      <c r="H25" s="93"/>
      <c r="I25" s="92"/>
      <c r="J25" s="90">
        <f>$G$7</f>
        <v>1000</v>
      </c>
      <c r="K25" s="83">
        <f>(F22*$H$7)+H22+I22</f>
        <v>0</v>
      </c>
      <c r="L25" s="90">
        <f>$G$7</f>
        <v>1000</v>
      </c>
      <c r="M25" s="84">
        <f>VLOOKUP(L25,MOQ_PUR_SALES_FACTOR,IF(J21=$I$3,3,IF(J21=$J$3,4,IF(J21=$K$3,5,""))),FALSE)*K25</f>
        <v>0</v>
      </c>
      <c r="N25" s="85">
        <f t="shared" si="1"/>
        <v>0</v>
      </c>
      <c r="O25" s="91">
        <f t="shared" si="0"/>
        <v>0</v>
      </c>
      <c r="P25" s="87"/>
    </row>
    <row r="26" spans="2:17" s="42" customFormat="1" x14ac:dyDescent="0.25">
      <c r="B26" s="66"/>
      <c r="C26" s="67" t="s">
        <v>44</v>
      </c>
      <c r="D26" s="94"/>
      <c r="E26" s="93"/>
      <c r="F26" s="93"/>
      <c r="G26" s="93"/>
      <c r="H26" s="93"/>
      <c r="I26" s="89"/>
      <c r="J26" s="90">
        <f>$G$8</f>
        <v>5000</v>
      </c>
      <c r="K26" s="83">
        <f>(F22*$H$8)+H22+I22</f>
        <v>0</v>
      </c>
      <c r="L26" s="90">
        <f>$G$8</f>
        <v>5000</v>
      </c>
      <c r="M26" s="84">
        <f>VLOOKUP(L26,MOQ_PUR_SALES_FACTOR,IF(J21=$I$3,3,IF(J21=$J$3,4,IF(J21=$K$3,5,""))),FALSE)*K26</f>
        <v>0</v>
      </c>
      <c r="N26" s="85">
        <f>L26*M26</f>
        <v>0</v>
      </c>
      <c r="O26" s="91">
        <f t="shared" si="0"/>
        <v>0</v>
      </c>
      <c r="P26" s="87"/>
    </row>
    <row r="27" spans="2:17" s="42" customFormat="1" x14ac:dyDescent="0.25">
      <c r="B27" s="66"/>
      <c r="C27" s="67" t="s">
        <v>45</v>
      </c>
      <c r="D27" s="94"/>
      <c r="E27" s="93"/>
      <c r="F27" s="93"/>
      <c r="G27" s="93"/>
      <c r="H27" s="93"/>
      <c r="I27" s="89"/>
      <c r="J27" s="90">
        <f>$G$9</f>
        <v>10000</v>
      </c>
      <c r="K27" s="83">
        <f>(F22*$H$9)+H22+I22</f>
        <v>0</v>
      </c>
      <c r="L27" s="90">
        <f>$G$9</f>
        <v>10000</v>
      </c>
      <c r="M27" s="84">
        <f>VLOOKUP(L27,MOQ_PUR_SALES_FACTOR,IF(J21=$I$3,3,IF(J21=$J$3,4,IF(J21=$K$3,5,""))),FALSE)*K27</f>
        <v>0</v>
      </c>
      <c r="N27" s="85">
        <f t="shared" ref="N27" si="2">L27*M27</f>
        <v>0</v>
      </c>
      <c r="O27" s="91">
        <f t="shared" si="0"/>
        <v>0</v>
      </c>
      <c r="P27" s="87"/>
    </row>
    <row r="28" spans="2:17" s="42" customFormat="1" x14ac:dyDescent="0.25">
      <c r="B28" s="66"/>
      <c r="C28" s="67" t="s">
        <v>46</v>
      </c>
      <c r="D28" s="94"/>
      <c r="E28" s="93"/>
      <c r="F28" s="93"/>
      <c r="G28" s="93"/>
      <c r="H28" s="93"/>
      <c r="I28" s="89"/>
      <c r="J28" s="90">
        <f>$G$10</f>
        <v>20000</v>
      </c>
      <c r="K28" s="83">
        <f>(F22*$H$10)+H22+I22</f>
        <v>0</v>
      </c>
      <c r="L28" s="90">
        <f>$G$10</f>
        <v>20000</v>
      </c>
      <c r="M28" s="84">
        <f>VLOOKUP(L28,MOQ_PUR_SALES_FACTOR,IF(J21=$I$3,3,IF(J21=$J$3,4,IF(J21=$K$3,5,""))),FALSE)*K28</f>
        <v>0</v>
      </c>
      <c r="N28" s="85">
        <f>L28*M28</f>
        <v>0</v>
      </c>
      <c r="O28" s="91">
        <f t="shared" si="0"/>
        <v>0</v>
      </c>
      <c r="P28" s="87"/>
    </row>
    <row r="29" spans="2:17" s="42" customFormat="1" ht="15.75" thickBot="1" x14ac:dyDescent="0.3">
      <c r="B29" s="95"/>
      <c r="C29" s="96" t="s">
        <v>47</v>
      </c>
      <c r="D29" s="97"/>
      <c r="E29" s="98"/>
      <c r="F29" s="98"/>
      <c r="G29" s="98"/>
      <c r="H29" s="98"/>
      <c r="I29" s="98"/>
      <c r="J29" s="99">
        <f>$G$11</f>
        <v>50000</v>
      </c>
      <c r="K29" s="100">
        <f>(F22*$H$11)+H22+I22</f>
        <v>0</v>
      </c>
      <c r="L29" s="99">
        <f>$G$11</f>
        <v>50000</v>
      </c>
      <c r="M29" s="101">
        <f>VLOOKUP(L29,MOQ_PUR_SALES_FACTOR,IF(J21=$I$3,3,IF(J21=$J$3,4,IF(J21=$K$3,5,""))),FALSE)*K29</f>
        <v>0</v>
      </c>
      <c r="N29" s="102">
        <f t="shared" ref="N29" si="3">L29*M29</f>
        <v>0</v>
      </c>
      <c r="O29" s="103">
        <f t="shared" si="0"/>
        <v>0</v>
      </c>
      <c r="P29" s="104"/>
    </row>
    <row r="30" spans="2:17" s="42" customFormat="1" x14ac:dyDescent="0.25">
      <c r="B30" s="123"/>
      <c r="C30" s="124"/>
      <c r="D30" s="89"/>
      <c r="E30" s="89"/>
      <c r="F30" s="89"/>
      <c r="G30" s="89"/>
      <c r="H30" s="89"/>
      <c r="I30" s="89"/>
      <c r="K30" s="125"/>
      <c r="M30" s="126"/>
      <c r="N30" s="127"/>
      <c r="O30" s="128"/>
    </row>
    <row r="31" spans="2:17" s="42" customFormat="1" ht="24" x14ac:dyDescent="0.4">
      <c r="B31" s="123"/>
      <c r="C31" s="124"/>
      <c r="D31" s="145" t="s">
        <v>88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</row>
    <row r="32" spans="2:17" ht="15.75" thickBot="1" x14ac:dyDescent="0.3"/>
    <row r="33" spans="2:16" s="42" customFormat="1" ht="15.75" customHeight="1" thickBot="1" x14ac:dyDescent="0.3">
      <c r="B33" s="58"/>
      <c r="C33" s="59"/>
      <c r="D33" s="60"/>
      <c r="E33" s="61"/>
      <c r="F33" s="62" t="s">
        <v>22</v>
      </c>
      <c r="G33" s="61"/>
      <c r="H33" s="62" t="s">
        <v>56</v>
      </c>
      <c r="I33" s="61"/>
      <c r="J33" s="62" t="s">
        <v>57</v>
      </c>
      <c r="K33" s="61"/>
      <c r="L33" s="61"/>
      <c r="M33" s="63"/>
      <c r="N33" s="63"/>
      <c r="O33" s="64"/>
      <c r="P33" s="65"/>
    </row>
    <row r="34" spans="2:16" s="42" customFormat="1" ht="30.75" customHeight="1" thickBot="1" x14ac:dyDescent="0.3">
      <c r="B34" s="66" t="s">
        <v>58</v>
      </c>
      <c r="C34" s="67" t="s">
        <v>31</v>
      </c>
      <c r="D34" s="68" t="s">
        <v>59</v>
      </c>
      <c r="E34" s="69" t="s">
        <v>60</v>
      </c>
      <c r="F34" s="70">
        <v>1</v>
      </c>
      <c r="G34" s="69" t="s">
        <v>61</v>
      </c>
      <c r="H34" s="70">
        <v>0.15</v>
      </c>
      <c r="I34" s="71" t="s">
        <v>62</v>
      </c>
      <c r="J34" s="72" t="s">
        <v>35</v>
      </c>
      <c r="K34" s="73" t="s">
        <v>63</v>
      </c>
      <c r="L34" s="74" t="s">
        <v>29</v>
      </c>
      <c r="M34" s="75" t="s">
        <v>64</v>
      </c>
      <c r="N34" s="75" t="str">
        <f>IF(J34&lt;&gt;$K$3,"Sales Value USD","Sales Value EUR")</f>
        <v>Sales Value USD</v>
      </c>
      <c r="O34" s="76" t="str">
        <f>IF(J34&lt;&gt;$K$3,"Sales Price USD","Sales Price EUR")</f>
        <v>Sales Price USD</v>
      </c>
      <c r="P34" s="77" t="s">
        <v>65</v>
      </c>
    </row>
    <row r="35" spans="2:16" s="42" customFormat="1" x14ac:dyDescent="0.25">
      <c r="B35" s="66" t="s">
        <v>66</v>
      </c>
      <c r="C35" s="67" t="s">
        <v>38</v>
      </c>
      <c r="D35" s="53" t="s">
        <v>89</v>
      </c>
      <c r="E35" s="78">
        <v>1</v>
      </c>
      <c r="F35" s="79">
        <f>E35*F34</f>
        <v>1</v>
      </c>
      <c r="G35" s="80">
        <v>0.5</v>
      </c>
      <c r="H35" s="79">
        <f>G35*H34</f>
        <v>7.4999999999999997E-2</v>
      </c>
      <c r="I35" s="81"/>
      <c r="J35" s="82">
        <f>$G$4</f>
        <v>10</v>
      </c>
      <c r="K35" s="83">
        <f>(F35*$H$4)+H35+I35</f>
        <v>1.4749999999999999</v>
      </c>
      <c r="L35" s="82">
        <f>$G$4</f>
        <v>10</v>
      </c>
      <c r="M35" s="84">
        <f>VLOOKUP(L35,MOQ_PUR_SALES_FACTOR,IF(J34=$I$3,3,IF(J34=$J$3,4,IF(J34=$K$3,5,""))),FALSE)*K35</f>
        <v>2.5074999999999998</v>
      </c>
      <c r="N35" s="85">
        <f>L35*M35</f>
        <v>25.074999999999999</v>
      </c>
      <c r="O35" s="86">
        <f>IF($P$17="",IF(VLOOKUP(C35,$C$4:$E$11,2,FALSE)&gt;$D$12,ROUND(M35,2)&amp;" &gt; Get approval",M35),M35)</f>
        <v>2.5074999999999998</v>
      </c>
      <c r="P35" s="87"/>
    </row>
    <row r="36" spans="2:16" s="42" customFormat="1" x14ac:dyDescent="0.25">
      <c r="B36" s="66" t="s">
        <v>67</v>
      </c>
      <c r="C36" s="67" t="s">
        <v>41</v>
      </c>
      <c r="D36" s="88"/>
      <c r="E36" s="89"/>
      <c r="F36" s="89"/>
      <c r="G36" s="89"/>
      <c r="H36" s="89"/>
      <c r="I36" s="89"/>
      <c r="J36" s="90">
        <f>$G$5</f>
        <v>50</v>
      </c>
      <c r="K36" s="83">
        <f>(F35*$H$5)+H35+I35</f>
        <v>1.2749999999999999</v>
      </c>
      <c r="L36" s="90">
        <f>$G$5</f>
        <v>50</v>
      </c>
      <c r="M36" s="84">
        <f>VLOOKUP(L36,MOQ_PUR_SALES_FACTOR,IF(J34=$I$3,3,IF(J34=$J$3,4,IF(J34=$K$3,5,""))),FALSE)*K36</f>
        <v>2.04</v>
      </c>
      <c r="N36" s="85">
        <f t="shared" ref="N36:N38" si="4">L36*M36</f>
        <v>102</v>
      </c>
      <c r="O36" s="91">
        <f t="shared" ref="O35:O42" si="5">IF($P$17="",IF(VLOOKUP(C36,$C$4:$E$11,2,FALSE)&gt;$D$12,ROUND(M36,2)&amp;" &gt; Get approval",M36),M36)</f>
        <v>2.04</v>
      </c>
      <c r="P36" s="87"/>
    </row>
    <row r="37" spans="2:16" s="42" customFormat="1" ht="15.75" thickBot="1" x14ac:dyDescent="0.3">
      <c r="B37" s="66"/>
      <c r="C37" s="67" t="s">
        <v>42</v>
      </c>
      <c r="D37" s="88"/>
      <c r="E37" s="92"/>
      <c r="F37" s="92"/>
      <c r="G37" s="92"/>
      <c r="H37" s="92"/>
      <c r="I37" s="92"/>
      <c r="J37" s="90">
        <f>$G$6</f>
        <v>300</v>
      </c>
      <c r="K37" s="83">
        <f>(F35*$H$6)+H35+I35</f>
        <v>1.075</v>
      </c>
      <c r="L37" s="90">
        <f>$G$6</f>
        <v>300</v>
      </c>
      <c r="M37" s="84">
        <f>VLOOKUP(L37,MOQ_PUR_SALES_FACTOR,IF(J34=$I$3,3,IF(J34=$J$3,4,IF(J34=$K$3,5,""))),FALSE)*K37</f>
        <v>1.6124999999999998</v>
      </c>
      <c r="N37" s="85">
        <f t="shared" si="4"/>
        <v>483.74999999999994</v>
      </c>
      <c r="O37" s="91">
        <f t="shared" si="5"/>
        <v>1.6124999999999998</v>
      </c>
      <c r="P37" s="87"/>
    </row>
    <row r="38" spans="2:16" s="42" customFormat="1" ht="15.75" thickBot="1" x14ac:dyDescent="0.3">
      <c r="B38" s="66"/>
      <c r="C38" s="67" t="s">
        <v>43</v>
      </c>
      <c r="D38" s="76" t="s">
        <v>68</v>
      </c>
      <c r="E38" s="93"/>
      <c r="F38" s="93"/>
      <c r="G38" s="93"/>
      <c r="H38" s="93"/>
      <c r="I38" s="92"/>
      <c r="J38" s="90">
        <f>$G$7</f>
        <v>1000</v>
      </c>
      <c r="K38" s="83">
        <f>(F35*$H$7)+H35+I35</f>
        <v>1.0549999999999999</v>
      </c>
      <c r="L38" s="90">
        <f>$G$7</f>
        <v>1000</v>
      </c>
      <c r="M38" s="84">
        <f>VLOOKUP(L38,MOQ_PUR_SALES_FACTOR,IF(J34=$I$3,3,IF(J34=$J$3,4,IF(J34=$K$3,5,""))),FALSE)*K38</f>
        <v>1.4769999999999999</v>
      </c>
      <c r="N38" s="85">
        <f t="shared" si="4"/>
        <v>1476.9999999999998</v>
      </c>
      <c r="O38" s="91">
        <f t="shared" si="5"/>
        <v>1.4769999999999999</v>
      </c>
      <c r="P38" s="87"/>
    </row>
    <row r="39" spans="2:16" s="42" customFormat="1" x14ac:dyDescent="0.25">
      <c r="B39" s="66"/>
      <c r="C39" s="67" t="s">
        <v>44</v>
      </c>
      <c r="D39" s="94"/>
      <c r="E39" s="93"/>
      <c r="F39" s="93"/>
      <c r="G39" s="93"/>
      <c r="H39" s="93"/>
      <c r="I39" s="89"/>
      <c r="J39" s="90">
        <f>$G$8</f>
        <v>5000</v>
      </c>
      <c r="K39" s="83">
        <f>(F35*$H$8)+H35+I35</f>
        <v>1.0249999999999999</v>
      </c>
      <c r="L39" s="90">
        <f>$G$8</f>
        <v>5000</v>
      </c>
      <c r="M39" s="84">
        <f>VLOOKUP(L39,MOQ_PUR_SALES_FACTOR,IF(J34=$I$3,3,IF(J34=$J$3,4,IF(J34=$K$3,5,""))),FALSE)*K39</f>
        <v>1.3325</v>
      </c>
      <c r="N39" s="85">
        <f>L39*M39</f>
        <v>6662.5</v>
      </c>
      <c r="O39" s="91">
        <f t="shared" si="5"/>
        <v>1.3325</v>
      </c>
      <c r="P39" s="87"/>
    </row>
    <row r="40" spans="2:16" s="42" customFormat="1" x14ac:dyDescent="0.25">
      <c r="B40" s="66"/>
      <c r="C40" s="67" t="s">
        <v>45</v>
      </c>
      <c r="D40" s="94"/>
      <c r="E40" s="93"/>
      <c r="F40" s="93"/>
      <c r="G40" s="93"/>
      <c r="H40" s="93"/>
      <c r="I40" s="89"/>
      <c r="J40" s="90">
        <f>$G$9</f>
        <v>10000</v>
      </c>
      <c r="K40" s="83">
        <f>(F35*$H$9)+H35+I35</f>
        <v>0.97499999999999998</v>
      </c>
      <c r="L40" s="90">
        <f>$G$9</f>
        <v>10000</v>
      </c>
      <c r="M40" s="84">
        <f>VLOOKUP(L40,MOQ_PUR_SALES_FACTOR,IF(J34=$I$3,3,IF(J34=$J$3,4,IF(J34=$K$3,5,""))),FALSE)*K40</f>
        <v>1.21875</v>
      </c>
      <c r="N40" s="85">
        <f t="shared" ref="N40" si="6">L40*M40</f>
        <v>12187.5</v>
      </c>
      <c r="O40" s="91">
        <f t="shared" si="5"/>
        <v>1.21875</v>
      </c>
      <c r="P40" s="87"/>
    </row>
    <row r="41" spans="2:16" s="42" customFormat="1" x14ac:dyDescent="0.25">
      <c r="B41" s="66"/>
      <c r="C41" s="67" t="s">
        <v>46</v>
      </c>
      <c r="D41" s="94"/>
      <c r="E41" s="93"/>
      <c r="F41" s="93"/>
      <c r="G41" s="93"/>
      <c r="H41" s="93"/>
      <c r="I41" s="89"/>
      <c r="J41" s="90">
        <f>$G$10</f>
        <v>20000</v>
      </c>
      <c r="K41" s="83">
        <f>(F35*$H$10)+H35+I35</f>
        <v>0.95499999999999996</v>
      </c>
      <c r="L41" s="90">
        <f>$G$10</f>
        <v>20000</v>
      </c>
      <c r="M41" s="84">
        <f>VLOOKUP(L41,MOQ_PUR_SALES_FACTOR,IF(J34=$I$3,3,IF(J34=$J$3,4,IF(J34=$K$3,5,""))),FALSE)*K41</f>
        <v>1.1459999999999999</v>
      </c>
      <c r="N41" s="85">
        <f>L41*M41</f>
        <v>22919.999999999996</v>
      </c>
      <c r="O41" s="91">
        <f t="shared" si="5"/>
        <v>1.1459999999999999</v>
      </c>
      <c r="P41" s="87"/>
    </row>
    <row r="42" spans="2:16" s="42" customFormat="1" ht="15.75" thickBot="1" x14ac:dyDescent="0.3">
      <c r="B42" s="95"/>
      <c r="C42" s="96" t="s">
        <v>47</v>
      </c>
      <c r="D42" s="97"/>
      <c r="E42" s="98"/>
      <c r="F42" s="98"/>
      <c r="G42" s="98"/>
      <c r="H42" s="98"/>
      <c r="I42" s="98"/>
      <c r="J42" s="99">
        <f>$G$11</f>
        <v>50000</v>
      </c>
      <c r="K42" s="100">
        <f>(F35*$H$11)+H35+I35</f>
        <v>0.92499999999999993</v>
      </c>
      <c r="L42" s="99">
        <f>$G$11</f>
        <v>50000</v>
      </c>
      <c r="M42" s="101">
        <f>VLOOKUP(L42,MOQ_PUR_SALES_FACTOR,IF(J34=$I$3,3,IF(J34=$J$3,4,IF(J34=$K$3,5,""))),FALSE)*K42</f>
        <v>1.0914999999999999</v>
      </c>
      <c r="N42" s="102">
        <f t="shared" ref="N42" si="7">L42*M42</f>
        <v>54574.999999999993</v>
      </c>
      <c r="O42" s="103">
        <f t="shared" si="5"/>
        <v>1.0914999999999999</v>
      </c>
      <c r="P42" s="104"/>
    </row>
  </sheetData>
  <mergeCells count="5">
    <mergeCell ref="D14:O14"/>
    <mergeCell ref="E15:O15"/>
    <mergeCell ref="E16:O16"/>
    <mergeCell ref="E17:O17"/>
    <mergeCell ref="D31:P31"/>
  </mergeCells>
  <conditionalFormatting sqref="A1:P1">
    <cfRule type="expression" dxfId="23" priority="10" stopIfTrue="1">
      <formula>N("_PMRH")=0</formula>
    </cfRule>
  </conditionalFormatting>
  <conditionalFormatting sqref="D4:D11">
    <cfRule type="cellIs" dxfId="22" priority="16" operator="greaterThan">
      <formula>$D$12</formula>
    </cfRule>
  </conditionalFormatting>
  <conditionalFormatting sqref="E4:E11">
    <cfRule type="containsText" dxfId="21" priority="15" operator="containsText" text="get approval">
      <formula>NOT(ISERROR(SEARCH("get approval",E4)))</formula>
    </cfRule>
  </conditionalFormatting>
  <conditionalFormatting sqref="J21">
    <cfRule type="cellIs" dxfId="20" priority="17" operator="equal">
      <formula>$K$3</formula>
    </cfRule>
  </conditionalFormatting>
  <conditionalFormatting sqref="J34">
    <cfRule type="cellIs" dxfId="19" priority="7" operator="equal">
      <formula>$K$3</formula>
    </cfRule>
  </conditionalFormatting>
  <conditionalFormatting sqref="N21">
    <cfRule type="expression" dxfId="18" priority="18">
      <formula>J21=$K$3</formula>
    </cfRule>
  </conditionalFormatting>
  <conditionalFormatting sqref="N34">
    <cfRule type="expression" dxfId="17" priority="8">
      <formula>J34=$K$3</formula>
    </cfRule>
  </conditionalFormatting>
  <conditionalFormatting sqref="O21">
    <cfRule type="expression" dxfId="16" priority="19">
      <formula>J21=$K$3</formula>
    </cfRule>
  </conditionalFormatting>
  <conditionalFormatting sqref="O22:O30">
    <cfRule type="cellIs" dxfId="15" priority="11" operator="lessThanOrEqual">
      <formula>0.15</formula>
    </cfRule>
    <cfRule type="containsText" dxfId="14" priority="12" operator="containsText" text="get approval">
      <formula>NOT(ISERROR(SEARCH("get approval",O22)))</formula>
    </cfRule>
  </conditionalFormatting>
  <conditionalFormatting sqref="O34">
    <cfRule type="expression" dxfId="13" priority="9">
      <formula>J34=$K$3</formula>
    </cfRule>
  </conditionalFormatting>
  <conditionalFormatting sqref="O35:O42">
    <cfRule type="cellIs" dxfId="12" priority="5" operator="lessThanOrEqual">
      <formula>0.15</formula>
    </cfRule>
    <cfRule type="containsText" dxfId="11" priority="6" operator="containsText" text="get approval">
      <formula>NOT(ISERROR(SEARCH("get approval",O35)))</formula>
    </cfRule>
  </conditionalFormatting>
  <conditionalFormatting sqref="P15">
    <cfRule type="containsText" dxfId="10" priority="13" operator="containsText" text="YES">
      <formula>NOT(ISERROR(SEARCH("YES",P15)))</formula>
    </cfRule>
    <cfRule type="containsText" dxfId="9" priority="14" operator="containsText" text="NO">
      <formula>NOT(ISERROR(SEARCH("NO",P15)))</formula>
    </cfRule>
  </conditionalFormatting>
  <dataValidations count="3">
    <dataValidation type="list" allowBlank="1" showInputMessage="1" showErrorMessage="1" sqref="J21 J34" xr:uid="{7E526212-C0E4-493D-B566-A23B0F77D1CD}">
      <formula1>$I$3:$K$3</formula1>
    </dataValidation>
    <dataValidation type="list" allowBlank="1" showInputMessage="1" showErrorMessage="1" sqref="P15" xr:uid="{ADFB4789-C843-4042-A46A-8BD08E2C92D5}">
      <formula1>"YES,NO"</formula1>
    </dataValidation>
    <dataValidation type="list" allowBlank="1" showInputMessage="1" showErrorMessage="1" sqref="P17" xr:uid="{C36F8455-0020-4061-8257-F986C5C817AE}">
      <formula1>"JAN,KRISTOF,FRANKY"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D610-A502-44A5-B585-E13275E054BF}">
  <dimension ref="A1:X3"/>
  <sheetViews>
    <sheetView workbookViewId="0">
      <selection activeCell="I11" sqref="I11"/>
    </sheetView>
  </sheetViews>
  <sheetFormatPr defaultRowHeight="15" x14ac:dyDescent="0.25"/>
  <sheetData>
    <row r="1" spans="1:24" s="13" customFormat="1" ht="51.75" customHeight="1" thickBot="1" x14ac:dyDescent="0.3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3" t="s">
        <v>15</v>
      </c>
      <c r="Q1" s="10" t="s">
        <v>16</v>
      </c>
      <c r="R1" s="10" t="s">
        <v>17</v>
      </c>
      <c r="S1" s="11" t="s">
        <v>18</v>
      </c>
      <c r="T1" s="10" t="s">
        <v>19</v>
      </c>
      <c r="U1" s="10" t="s">
        <v>20</v>
      </c>
      <c r="V1" s="11" t="s">
        <v>21</v>
      </c>
      <c r="W1" s="12" t="s">
        <v>22</v>
      </c>
      <c r="X1" s="12" t="s">
        <v>23</v>
      </c>
    </row>
    <row r="2" spans="1:24" s="15" customFormat="1" x14ac:dyDescent="0.25">
      <c r="A2" s="14" t="s">
        <v>24</v>
      </c>
      <c r="B2" s="14" t="s">
        <v>25</v>
      </c>
      <c r="C2" s="14" t="s">
        <v>26</v>
      </c>
      <c r="D2" s="14" t="str">
        <f t="shared" ref="D2:D3" si="0">B2&amp;C2</f>
        <v>Z209BGP</v>
      </c>
      <c r="E2" s="15" t="s">
        <v>27</v>
      </c>
      <c r="F2" s="14">
        <v>2</v>
      </c>
      <c r="G2" s="16">
        <v>1</v>
      </c>
      <c r="H2" s="17">
        <f>G2*1.4</f>
        <v>1.4</v>
      </c>
      <c r="I2" s="17">
        <f>G2*1.2</f>
        <v>1.2</v>
      </c>
      <c r="J2" s="17">
        <f>G2</f>
        <v>1</v>
      </c>
      <c r="K2" s="17">
        <f>G2*0.98</f>
        <v>0.98</v>
      </c>
      <c r="L2" s="17">
        <f>G2*0.95</f>
        <v>0.95</v>
      </c>
      <c r="M2" s="17">
        <f>G2*0.9</f>
        <v>0.9</v>
      </c>
      <c r="N2" s="17">
        <f>G2*0.88</f>
        <v>0.88</v>
      </c>
      <c r="O2" s="17">
        <f>G2*0.85</f>
        <v>0.85</v>
      </c>
      <c r="P2" s="18"/>
      <c r="W2" s="15">
        <v>1</v>
      </c>
    </row>
    <row r="3" spans="1:24" s="15" customFormat="1" x14ac:dyDescent="0.25">
      <c r="A3" s="14" t="s">
        <v>24</v>
      </c>
      <c r="B3" s="14" t="s">
        <v>28</v>
      </c>
      <c r="C3" s="14" t="s">
        <v>26</v>
      </c>
      <c r="D3" s="14" t="str">
        <f t="shared" si="0"/>
        <v>Z309BGP</v>
      </c>
      <c r="E3" s="15" t="s">
        <v>27</v>
      </c>
      <c r="F3" s="14">
        <v>3</v>
      </c>
      <c r="G3" s="19">
        <v>2</v>
      </c>
      <c r="H3" s="17">
        <f t="shared" ref="H3" si="1">G3*1.4</f>
        <v>2.8</v>
      </c>
      <c r="I3" s="17">
        <f t="shared" ref="I3" si="2">G3*1.2</f>
        <v>2.4</v>
      </c>
      <c r="J3" s="17">
        <f t="shared" ref="J3" si="3">G3</f>
        <v>2</v>
      </c>
      <c r="K3" s="17">
        <f t="shared" ref="K3" si="4">G3*0.98</f>
        <v>1.96</v>
      </c>
      <c r="L3" s="17">
        <f t="shared" ref="L3" si="5">G3*0.95</f>
        <v>1.9</v>
      </c>
      <c r="M3" s="17">
        <f t="shared" ref="M3" si="6">G3*0.9</f>
        <v>1.8</v>
      </c>
      <c r="N3" s="17">
        <f t="shared" ref="N3" si="7">G3*0.88</f>
        <v>1.76</v>
      </c>
      <c r="O3" s="17">
        <f t="shared" ref="O3" si="8">G3*0.85</f>
        <v>1.7</v>
      </c>
      <c r="P3" s="18"/>
      <c r="W3" s="15">
        <v>2</v>
      </c>
    </row>
  </sheetData>
  <conditionalFormatting sqref="D1:D3">
    <cfRule type="duplicateValues" dxfId="8" priority="16"/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0742-E285-473C-8C0F-56F7DCDD67D8}">
  <dimension ref="A1:U5"/>
  <sheetViews>
    <sheetView workbookViewId="0">
      <selection sqref="A1:Q5"/>
    </sheetView>
  </sheetViews>
  <sheetFormatPr defaultRowHeight="15" x14ac:dyDescent="0.25"/>
  <cols>
    <col min="1" max="2" width="15.140625" customWidth="1"/>
    <col min="4" max="4" width="16.5703125" customWidth="1"/>
    <col min="5" max="5" width="18.28515625" customWidth="1"/>
    <col min="6" max="6" width="37" customWidth="1"/>
    <col min="7" max="7" width="16.85546875" customWidth="1"/>
  </cols>
  <sheetData>
    <row r="1" spans="1:21" s="116" customFormat="1" ht="60" x14ac:dyDescent="0.25">
      <c r="A1" s="105" t="s">
        <v>0</v>
      </c>
      <c r="B1" s="105" t="s">
        <v>69</v>
      </c>
      <c r="C1" s="105" t="s">
        <v>70</v>
      </c>
      <c r="D1" s="105" t="s">
        <v>71</v>
      </c>
      <c r="E1" s="106" t="s">
        <v>72</v>
      </c>
      <c r="F1" s="107" t="s">
        <v>73</v>
      </c>
      <c r="G1" s="105" t="s">
        <v>17</v>
      </c>
      <c r="H1" s="108" t="s">
        <v>74</v>
      </c>
      <c r="I1" s="109" t="s">
        <v>75</v>
      </c>
      <c r="J1" s="110" t="s">
        <v>5</v>
      </c>
      <c r="K1" s="111" t="s">
        <v>76</v>
      </c>
      <c r="L1" s="112" t="s">
        <v>15</v>
      </c>
      <c r="M1" s="113" t="s">
        <v>77</v>
      </c>
      <c r="N1" s="114" t="s">
        <v>78</v>
      </c>
      <c r="O1" s="114" t="s">
        <v>18</v>
      </c>
      <c r="P1" s="115" t="s">
        <v>22</v>
      </c>
      <c r="Q1" s="115" t="s">
        <v>23</v>
      </c>
      <c r="R1" s="116" t="s">
        <v>79</v>
      </c>
      <c r="S1" s="116" t="s">
        <v>19</v>
      </c>
      <c r="T1" s="116" t="s">
        <v>80</v>
      </c>
      <c r="U1" s="116" t="s">
        <v>81</v>
      </c>
    </row>
    <row r="2" spans="1:21" s="116" customFormat="1" ht="54" customHeight="1" x14ac:dyDescent="0.25">
      <c r="A2" s="117" t="s">
        <v>24</v>
      </c>
      <c r="B2" s="118" t="s">
        <v>82</v>
      </c>
      <c r="C2" s="118" t="s">
        <v>83</v>
      </c>
      <c r="D2" s="119" t="s">
        <v>84</v>
      </c>
      <c r="E2" s="120">
        <v>230202000039</v>
      </c>
      <c r="F2" s="121" t="s">
        <v>85</v>
      </c>
      <c r="G2" s="118" t="s">
        <v>86</v>
      </c>
      <c r="H2" s="17">
        <v>0.14699999999999999</v>
      </c>
      <c r="I2" s="19">
        <v>0.5</v>
      </c>
      <c r="J2" s="118">
        <v>2</v>
      </c>
      <c r="K2" s="122" t="s">
        <v>87</v>
      </c>
      <c r="L2" s="117"/>
      <c r="M2" s="117"/>
      <c r="N2" s="117"/>
      <c r="O2" s="117"/>
      <c r="P2" s="116">
        <v>1</v>
      </c>
    </row>
    <row r="3" spans="1:21" ht="30" x14ac:dyDescent="0.25">
      <c r="A3" s="129" t="s">
        <v>24</v>
      </c>
      <c r="B3" s="130" t="s">
        <v>90</v>
      </c>
      <c r="C3" s="130" t="s">
        <v>83</v>
      </c>
      <c r="D3" s="131" t="s">
        <v>91</v>
      </c>
      <c r="E3" s="132">
        <v>230202000038</v>
      </c>
      <c r="F3" s="133" t="s">
        <v>92</v>
      </c>
      <c r="G3" s="130" t="s">
        <v>86</v>
      </c>
      <c r="H3" s="1">
        <v>0.17799999999999999</v>
      </c>
      <c r="I3" s="2">
        <v>1</v>
      </c>
      <c r="J3" s="130">
        <v>2</v>
      </c>
      <c r="K3" s="134" t="s">
        <v>87</v>
      </c>
      <c r="L3" s="129"/>
      <c r="M3" s="129"/>
      <c r="N3" s="129"/>
      <c r="O3" s="129"/>
      <c r="P3">
        <v>2</v>
      </c>
    </row>
    <row r="4" spans="1:21" ht="30" x14ac:dyDescent="0.25">
      <c r="A4" s="129" t="s">
        <v>24</v>
      </c>
      <c r="B4" s="130" t="s">
        <v>93</v>
      </c>
      <c r="C4" s="130" t="s">
        <v>83</v>
      </c>
      <c r="D4" s="131" t="s">
        <v>94</v>
      </c>
      <c r="E4" s="135">
        <v>230203000004</v>
      </c>
      <c r="F4" s="133" t="s">
        <v>95</v>
      </c>
      <c r="G4" s="130" t="s">
        <v>86</v>
      </c>
      <c r="H4" s="1">
        <v>0.186</v>
      </c>
      <c r="I4" s="2">
        <v>2</v>
      </c>
      <c r="J4" s="130">
        <v>3</v>
      </c>
      <c r="K4" s="134" t="s">
        <v>87</v>
      </c>
      <c r="L4" s="129"/>
      <c r="M4" s="129"/>
      <c r="N4" s="129"/>
      <c r="O4" s="129"/>
      <c r="P4">
        <v>3</v>
      </c>
    </row>
    <row r="5" spans="1:21" ht="30" x14ac:dyDescent="0.25">
      <c r="A5" s="129" t="s">
        <v>24</v>
      </c>
      <c r="B5" s="130" t="s">
        <v>96</v>
      </c>
      <c r="C5" s="130" t="s">
        <v>83</v>
      </c>
      <c r="D5" s="131" t="s">
        <v>97</v>
      </c>
      <c r="E5" s="135">
        <v>230203000001</v>
      </c>
      <c r="F5" s="133" t="s">
        <v>98</v>
      </c>
      <c r="G5" s="130" t="s">
        <v>86</v>
      </c>
      <c r="H5" s="1">
        <v>0.21099999999999999</v>
      </c>
      <c r="I5" s="2">
        <v>2.5</v>
      </c>
      <c r="J5" s="130">
        <v>3</v>
      </c>
      <c r="K5" s="134" t="s">
        <v>87</v>
      </c>
      <c r="L5" s="129"/>
      <c r="M5" s="129"/>
      <c r="N5" s="129"/>
      <c r="O5" s="129"/>
      <c r="P5">
        <v>4</v>
      </c>
    </row>
  </sheetData>
  <conditionalFormatting sqref="B2">
    <cfRule type="duplicateValues" dxfId="7" priority="5"/>
  </conditionalFormatting>
  <conditionalFormatting sqref="B3:B5">
    <cfRule type="duplicateValues" dxfId="6" priority="1"/>
  </conditionalFormatting>
  <conditionalFormatting sqref="E1:E2">
    <cfRule type="duplicateValues" dxfId="5" priority="6"/>
    <cfRule type="duplicateValues" dxfId="4" priority="7"/>
    <cfRule type="duplicateValues" dxfId="3" priority="8"/>
  </conditionalFormatting>
  <conditionalFormatting sqref="E3:E5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QUOTE</vt:lpstr>
      <vt:lpstr>CONNECTOR</vt:lpstr>
      <vt:lpstr>CABLE</vt:lpstr>
      <vt:lpstr>MOQ_PUR_SALES_FACTOR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Vissers</dc:creator>
  <cp:lastModifiedBy>Niels Vissers</cp:lastModifiedBy>
  <dcterms:created xsi:type="dcterms:W3CDTF">2026-04-29T08:27:40Z</dcterms:created>
  <dcterms:modified xsi:type="dcterms:W3CDTF">2026-04-29T11:52:17Z</dcterms:modified>
</cp:coreProperties>
</file>